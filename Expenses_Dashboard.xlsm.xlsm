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shim\Downloads\"/>
    </mc:Choice>
  </mc:AlternateContent>
  <xr:revisionPtr revIDLastSave="0" documentId="13_ncr:1_{A996DDFE-8F87-446D-9168-058FBE8B32D6}" xr6:coauthVersionLast="47" xr6:coauthVersionMax="47" xr10:uidLastSave="{00000000-0000-0000-0000-000000000000}"/>
  <bookViews>
    <workbookView xWindow="-108" yWindow="-108" windowWidth="23256" windowHeight="12456" xr2:uid="{CE7C6016-0442-4699-AE9F-5CF5ED083DB1}"/>
  </bookViews>
  <sheets>
    <sheet name="Dashboard" sheetId="5" r:id="rId1"/>
    <sheet name="Data" sheetId="1" r:id="rId2"/>
    <sheet name="Pivot" sheetId="4" r:id="rId3"/>
  </sheets>
  <definedNames>
    <definedName name="Slicer_Department">#N/A</definedName>
    <definedName name="Slicer_Month">#N/A</definedName>
  </definedNames>
  <calcPr calcId="191029"/>
  <pivotCaches>
    <pivotCache cacheId="6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F5" i="5" l="1"/>
  <c r="AF6" i="5" s="1"/>
  <c r="AF4" i="5"/>
  <c r="AF3" i="5"/>
  <c r="AF2" i="5"/>
  <c r="AF7" i="5" s="1"/>
  <c r="O56" i="4"/>
  <c r="N56" i="4"/>
  <c r="M56" i="4"/>
  <c r="O55" i="4"/>
  <c r="N55" i="4"/>
  <c r="M55" i="4"/>
  <c r="O54" i="4"/>
  <c r="N54" i="4"/>
  <c r="M54" i="4"/>
  <c r="O53" i="4"/>
  <c r="N53" i="4"/>
  <c r="M53" i="4"/>
  <c r="O52" i="4"/>
  <c r="N52" i="4"/>
  <c r="M52" i="4"/>
  <c r="O51" i="4"/>
  <c r="N51" i="4"/>
  <c r="M51" i="4"/>
  <c r="K54" i="4"/>
  <c r="J54" i="4"/>
  <c r="K53" i="4"/>
  <c r="J53" i="4"/>
  <c r="K52" i="4"/>
  <c r="J52" i="4"/>
  <c r="K51" i="4"/>
  <c r="J51" i="4"/>
  <c r="H62" i="4"/>
  <c r="G62" i="4"/>
  <c r="H61" i="4"/>
  <c r="G61" i="4"/>
  <c r="H60" i="4"/>
  <c r="G60" i="4"/>
  <c r="H59" i="4"/>
  <c r="G59" i="4"/>
  <c r="H58" i="4"/>
  <c r="G58" i="4"/>
  <c r="H57" i="4"/>
  <c r="G57" i="4"/>
  <c r="H56" i="4"/>
  <c r="G56" i="4"/>
  <c r="H55" i="4"/>
  <c r="G55" i="4"/>
  <c r="H54" i="4"/>
  <c r="G54" i="4"/>
  <c r="H53" i="4"/>
  <c r="G53" i="4"/>
  <c r="H52" i="4"/>
  <c r="G52" i="4"/>
  <c r="H51" i="4"/>
  <c r="G51" i="4"/>
  <c r="E58" i="4"/>
  <c r="D58" i="4"/>
  <c r="E57" i="4"/>
  <c r="D57" i="4"/>
  <c r="E56" i="4"/>
  <c r="D56" i="4"/>
  <c r="E55" i="4"/>
  <c r="D55" i="4"/>
  <c r="E54" i="4"/>
  <c r="D54" i="4"/>
  <c r="E53" i="4"/>
  <c r="D53" i="4"/>
  <c r="E52" i="4"/>
  <c r="D52" i="4"/>
  <c r="E51" i="4"/>
  <c r="D51" i="4"/>
  <c r="B56" i="4"/>
  <c r="A56" i="4"/>
  <c r="B55" i="4"/>
  <c r="A55" i="4"/>
  <c r="B54" i="4"/>
  <c r="A54" i="4"/>
  <c r="B53" i="4"/>
  <c r="A53" i="4"/>
  <c r="B52" i="4"/>
  <c r="A52" i="4"/>
  <c r="B51" i="4"/>
  <c r="A51" i="4"/>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alcChain>
</file>

<file path=xl/sharedStrings.xml><?xml version="1.0" encoding="utf-8"?>
<sst xmlns="http://schemas.openxmlformats.org/spreadsheetml/2006/main" count="3406" uniqueCount="938">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</sst>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0" fontId="0" fillId="0" borderId="0" xfId="0" applyNumberForma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419">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D32F-41C8-831E-5DA866D1BFDF}"/>
            </c:ext>
          </c:extLst>
        </c:ser>
        <c:dLbls>
          <c:showLegendKey val="0"/>
          <c:showVal val="0"/>
          <c:showCatName val="0"/>
          <c:showSerName val="0"/>
          <c:showPercent val="0"/>
          <c:showBubbleSize val="0"/>
        </c:dLbls>
        <c:gapWidth val="150"/>
        <c:axId val="252670127"/>
        <c:axId val="127330895"/>
      </c:barChart>
      <c:catAx>
        <c:axId val="252670127"/>
        <c:scaling>
          <c:orientation val="minMax"/>
        </c:scaling>
        <c:delete val="0"/>
        <c:axPos val="b"/>
        <c:numFmt formatCode="General" sourceLinked="1"/>
        <c:majorTickMark val="out"/>
        <c:minorTickMark val="none"/>
        <c:tickLblPos val="nextTo"/>
        <c:spPr>
          <a:ln>
            <a:solidFill>
              <a:srgbClr val="D2D2D2"/>
            </a:solidFill>
          </a:ln>
        </c:spPr>
        <c:crossAx val="127330895"/>
        <c:crosses val="autoZero"/>
        <c:auto val="1"/>
        <c:lblAlgn val="ctr"/>
        <c:lblOffset val="100"/>
        <c:noMultiLvlLbl val="0"/>
      </c:catAx>
      <c:valAx>
        <c:axId val="127330895"/>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252670127"/>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B8B1-4306-BAB0-45337EEEF5E9}"/>
              </c:ext>
            </c:extLst>
          </c:dPt>
          <c:dPt>
            <c:idx val="1"/>
            <c:bubble3D val="0"/>
            <c:spPr>
              <a:solidFill>
                <a:srgbClr val="84C637"/>
              </a:solidFill>
              <a:ln>
                <a:solidFill>
                  <a:srgbClr val="FFFFFF"/>
                </a:solidFill>
              </a:ln>
            </c:spPr>
            <c:extLst>
              <c:ext xmlns:c16="http://schemas.microsoft.com/office/drawing/2014/chart" uri="{C3380CC4-5D6E-409C-BE32-E72D297353CC}">
                <c16:uniqueId val="{00000002-B8B1-4306-BAB0-45337EEEF5E9}"/>
              </c:ext>
            </c:extLst>
          </c:dPt>
          <c:dPt>
            <c:idx val="2"/>
            <c:bubble3D val="0"/>
            <c:spPr>
              <a:solidFill>
                <a:srgbClr val="5DB13A"/>
              </a:solidFill>
              <a:ln>
                <a:solidFill>
                  <a:srgbClr val="FFFFFF"/>
                </a:solidFill>
              </a:ln>
            </c:spPr>
            <c:extLst>
              <c:ext xmlns:c16="http://schemas.microsoft.com/office/drawing/2014/chart" uri="{C3380CC4-5D6E-409C-BE32-E72D297353CC}">
                <c16:uniqueId val="{00000003-B8B1-4306-BAB0-45337EEEF5E9}"/>
              </c:ext>
            </c:extLst>
          </c:dPt>
          <c:dPt>
            <c:idx val="3"/>
            <c:bubble3D val="0"/>
            <c:spPr>
              <a:solidFill>
                <a:srgbClr val="168A96"/>
              </a:solidFill>
              <a:ln>
                <a:solidFill>
                  <a:srgbClr val="FFFFFF"/>
                </a:solidFill>
              </a:ln>
            </c:spPr>
            <c:extLst>
              <c:ext xmlns:c16="http://schemas.microsoft.com/office/drawing/2014/chart" uri="{C3380CC4-5D6E-409C-BE32-E72D297353CC}">
                <c16:uniqueId val="{00000004-B8B1-4306-BAB0-45337EEEF5E9}"/>
              </c:ext>
            </c:extLst>
          </c:dPt>
          <c:dPt>
            <c:idx val="4"/>
            <c:bubble3D val="0"/>
            <c:spPr>
              <a:solidFill>
                <a:srgbClr val="7030A0"/>
              </a:solidFill>
              <a:ln>
                <a:solidFill>
                  <a:srgbClr val="FFFFFF"/>
                </a:solidFill>
              </a:ln>
            </c:spPr>
            <c:extLst>
              <c:ext xmlns:c16="http://schemas.microsoft.com/office/drawing/2014/chart" uri="{C3380CC4-5D6E-409C-BE32-E72D297353CC}">
                <c16:uniqueId val="{00000005-B8B1-4306-BAB0-45337EEEF5E9}"/>
              </c:ext>
            </c:extLst>
          </c:dPt>
          <c:dPt>
            <c:idx val="5"/>
            <c:bubble3D val="0"/>
            <c:spPr>
              <a:solidFill>
                <a:srgbClr val="618724"/>
              </a:solidFill>
              <a:ln>
                <a:solidFill>
                  <a:srgbClr val="FFFFFF"/>
                </a:solidFill>
              </a:ln>
            </c:spPr>
            <c:extLst>
              <c:ext xmlns:c16="http://schemas.microsoft.com/office/drawing/2014/chart" uri="{C3380CC4-5D6E-409C-BE32-E72D297353CC}">
                <c16:uniqueId val="{00000006-B8B1-4306-BAB0-45337EEEF5E9}"/>
              </c:ext>
            </c:extLst>
          </c:dPt>
          <c:dPt>
            <c:idx val="6"/>
            <c:bubble3D val="0"/>
            <c:spPr>
              <a:solidFill>
                <a:srgbClr val="91A0AA"/>
              </a:solidFill>
              <a:ln>
                <a:solidFill>
                  <a:srgbClr val="FFFFFF"/>
                </a:solidFill>
              </a:ln>
            </c:spPr>
            <c:extLst>
              <c:ext xmlns:c16="http://schemas.microsoft.com/office/drawing/2014/chart" uri="{C3380CC4-5D6E-409C-BE32-E72D297353CC}">
                <c16:uniqueId val="{00000007-B8B1-4306-BAB0-45337EEEF5E9}"/>
              </c:ext>
            </c:extLst>
          </c:dPt>
          <c:dPt>
            <c:idx val="7"/>
            <c:bubble3D val="0"/>
            <c:spPr>
              <a:solidFill>
                <a:srgbClr val="ED7D31"/>
              </a:solidFill>
              <a:ln>
                <a:solidFill>
                  <a:srgbClr val="FFFFFF"/>
                </a:solidFill>
              </a:ln>
            </c:spPr>
            <c:extLst>
              <c:ext xmlns:c16="http://schemas.microsoft.com/office/drawing/2014/chart" uri="{C3380CC4-5D6E-409C-BE32-E72D297353CC}">
                <c16:uniqueId val="{00000008-B8B1-4306-BAB0-45337EEEF5E9}"/>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B8B1-4306-BAB0-45337EEEF5E9}"/>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9253-49DF-A1D7-343121D74ADF}"/>
            </c:ext>
          </c:extLst>
        </c:ser>
        <c:dLbls>
          <c:showLegendKey val="0"/>
          <c:showVal val="0"/>
          <c:showCatName val="0"/>
          <c:showSerName val="0"/>
          <c:showPercent val="0"/>
          <c:showBubbleSize val="0"/>
        </c:dLbls>
        <c:marker val="1"/>
        <c:smooth val="0"/>
        <c:axId val="130297263"/>
        <c:axId val="127303535"/>
      </c:lineChart>
      <c:catAx>
        <c:axId val="130297263"/>
        <c:scaling>
          <c:orientation val="minMax"/>
        </c:scaling>
        <c:delete val="0"/>
        <c:axPos val="b"/>
        <c:numFmt formatCode="General" sourceLinked="1"/>
        <c:majorTickMark val="out"/>
        <c:minorTickMark val="none"/>
        <c:tickLblPos val="nextTo"/>
        <c:spPr>
          <a:ln>
            <a:solidFill>
              <a:srgbClr val="D2D2D2"/>
            </a:solidFill>
          </a:ln>
        </c:spPr>
        <c:crossAx val="127303535"/>
        <c:crosses val="autoZero"/>
        <c:auto val="1"/>
        <c:lblAlgn val="ctr"/>
        <c:lblOffset val="100"/>
        <c:noMultiLvlLbl val="0"/>
      </c:catAx>
      <c:valAx>
        <c:axId val="127303535"/>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30297263"/>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94B3-4B52-A82A-C39EF8A5AE18}"/>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94B3-4B52-A82A-C39EF8A5AE18}"/>
            </c:ext>
          </c:extLst>
        </c:ser>
        <c:dLbls>
          <c:showLegendKey val="0"/>
          <c:showVal val="0"/>
          <c:showCatName val="0"/>
          <c:showSerName val="0"/>
          <c:showPercent val="0"/>
          <c:showBubbleSize val="0"/>
        </c:dLbls>
        <c:gapWidth val="150"/>
        <c:axId val="133929103"/>
        <c:axId val="127306895"/>
      </c:barChart>
      <c:catAx>
        <c:axId val="133929103"/>
        <c:scaling>
          <c:orientation val="minMax"/>
        </c:scaling>
        <c:delete val="0"/>
        <c:axPos val="b"/>
        <c:numFmt formatCode="General" sourceLinked="1"/>
        <c:majorTickMark val="out"/>
        <c:minorTickMark val="none"/>
        <c:tickLblPos val="nextTo"/>
        <c:spPr>
          <a:ln>
            <a:solidFill>
              <a:srgbClr val="D2D2D2"/>
            </a:solidFill>
          </a:ln>
        </c:spPr>
        <c:crossAx val="127306895"/>
        <c:crosses val="autoZero"/>
        <c:auto val="1"/>
        <c:lblAlgn val="ctr"/>
        <c:lblOffset val="100"/>
        <c:noMultiLvlLbl val="0"/>
      </c:catAx>
      <c:valAx>
        <c:axId val="127306895"/>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33929103"/>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6E5B-42BC-9C03-536C83615740}"/>
            </c:ext>
          </c:extLst>
        </c:ser>
        <c:dLbls>
          <c:showLegendKey val="0"/>
          <c:showVal val="0"/>
          <c:showCatName val="0"/>
          <c:showSerName val="0"/>
          <c:showPercent val="0"/>
          <c:showBubbleSize val="0"/>
        </c:dLbls>
        <c:gapWidth val="70"/>
        <c:axId val="275346143"/>
        <c:axId val="127293935"/>
      </c:barChart>
      <c:catAx>
        <c:axId val="275346143"/>
        <c:scaling>
          <c:orientation val="minMax"/>
        </c:scaling>
        <c:delete val="0"/>
        <c:axPos val="l"/>
        <c:numFmt formatCode="General" sourceLinked="1"/>
        <c:majorTickMark val="out"/>
        <c:minorTickMark val="none"/>
        <c:tickLblPos val="nextTo"/>
        <c:spPr>
          <a:ln>
            <a:solidFill>
              <a:srgbClr val="D2D2D2"/>
            </a:solidFill>
          </a:ln>
        </c:spPr>
        <c:crossAx val="127293935"/>
        <c:crosses val="autoZero"/>
        <c:auto val="1"/>
        <c:lblAlgn val="ctr"/>
        <c:lblOffset val="100"/>
        <c:noMultiLvlLbl val="0"/>
      </c:catAx>
      <c:valAx>
        <c:axId val="127293935"/>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275346143"/>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D5DC538C-8DF6-44AB-D98F-A304E9B65545}"/>
            </a:ext>
          </a:extLst>
        </xdr:cNvPr>
        <xdr:cNvSpPr/>
      </xdr:nvSpPr>
      <xdr:spPr>
        <a:xfrm>
          <a:off x="0" y="0"/>
          <a:ext cx="166878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9D5561BA-71E8-1C30-C56C-493CAE681ED3}"/>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C8FDF34A-F188-7B67-5099-EFF5297B4529}"/>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6CFDD3EC-4D64-AE73-AC04-25BF019D8279}"/>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Aug 15,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CE1345CD-F4D1-E5B6-D4AD-42CCD151F82C}"/>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68A08DC4-7212-A7A2-31EC-4B9D42F4A8C6}"/>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88825B8E-947E-44E6-717F-EEB3E5F9A741}"/>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83C27242-3A39-72EB-0929-5D5FCC6A55DB}"/>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3B8ACA0-9A05-404E-8BF9-F56DF72C6EF6}" type="TxLink">
            <a:rPr lang="en-US" sz="2800" b="1" i="0" u="none" strike="noStrike">
              <a:solidFill>
                <a:srgbClr val="054A19"/>
              </a:solidFill>
              <a:latin typeface="Aptos"/>
            </a:rPr>
            <a:t>18,405K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D5CC64E3-F4BF-CDB2-0FEC-38C7E4F8D20E}"/>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7273AFC3-E353-3478-B081-95542DD9928A}"/>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BBE650FD-A77B-9A43-3C85-DF5892D9F54A}"/>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6F76B456-39AD-5930-1B3A-DB45762D534A}"/>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0B75012E-7499-B879-4821-96BF41AFF9A0}"/>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4F563BE-740B-4F1D-9FAA-3D6597828DE2}" type="TxLink">
            <a:rPr lang="en-US" sz="2800" b="1" i="0" u="none" strike="noStrike">
              <a:solidFill>
                <a:srgbClr val="054A19"/>
              </a:solidFill>
              <a:latin typeface="Aptos"/>
            </a:rPr>
            <a:t>22,954K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81761699-5AD7-94F0-D330-69EBADC4EBE4}"/>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333BDE78-A691-4BD3-3310-4083564B8042}"/>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850BDC3F-EDBC-54D2-2C1F-4CA0A3BF3B70}"/>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D6C1CCB1-B6D7-F02E-2A61-24C4B5FD383B}"/>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BF7D3323-3782-1B67-0B4D-A4D033F81EAD}"/>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94F1DB1-FFE3-4722-BD2A-E440ACC4CF08}" type="TxLink">
            <a:rPr lang="en-US" sz="2800" b="1" i="0" u="none" strike="noStrike">
              <a:solidFill>
                <a:srgbClr val="054A19"/>
              </a:solidFill>
              <a:latin typeface="Aptos"/>
            </a:rPr>
            <a:t>4,549K</a:t>
          </a:fld>
          <a:endParaRPr lang="en-IN" sz="2800" b="1">
            <a:solidFill>
              <a:srgbClr val="054A19"/>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BD03DC4D-1A58-75B4-CD31-84B506911DFF}"/>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6235CE39-B947-CF12-79F6-E460D8D6975A}"/>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7C45E239-EFDE-42DA-8470-66E1A8D9E64F}"/>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68736C9B-8A11-B1F3-A4C4-3D838810095E}"/>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06B98663-F8A5-33CF-3ADD-228FBE530826}"/>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F0F769A-4CC9-4FB5-A0D0-EBEFC5888EB1}" type="TxLink">
            <a:rPr lang="en-US" sz="2800" b="1" i="0" u="none" strike="noStrike">
              <a:solidFill>
                <a:srgbClr val="054A19"/>
              </a:solidFill>
              <a:latin typeface="Aptos"/>
            </a:rPr>
            <a:t>415</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08CE8718-B830-1407-9972-010B7CDF1C9F}"/>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06A19AF4-FE00-0A24-0621-4C68C66F27C0}"/>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AE51784A-EA11-E70D-2DBB-82F454E0509F}"/>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CF82FBC6-ECB6-FFAF-4470-EE195C81F26A}"/>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C6C73A2C-11F6-F44F-B020-1B2D578C0A4B}"/>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C6BB396-D020-4702-A0CB-BFAF8E3BDACA}" type="TxLink">
            <a:rPr lang="en-US" sz="2800" b="1" i="0" u="none" strike="noStrike">
              <a:solidFill>
                <a:srgbClr val="054A19"/>
              </a:solidFill>
              <a:latin typeface="Aptos"/>
            </a:rPr>
            <a:t>81.4%</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D3604960-019D-CB0E-22D8-306D70A07E79}"/>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14F685AC-7949-5A31-1AB9-60DA0A5E7C26}"/>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0FCFBF9B-0EFB-567E-7406-763B0FAEFD0F}"/>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A96744E5-4C05-5654-FFC9-6A7806B6A170}"/>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3F48DC2D-6943-37AE-A188-53EF2AF19B8E}"/>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A653F7C-6B8F-4C9F-A5ED-57880E75FCDA}" type="TxLink">
            <a:rPr lang="en-US" sz="2800" b="1" i="0" u="none" strike="noStrike">
              <a:solidFill>
                <a:srgbClr val="054A19"/>
              </a:solidFill>
              <a:latin typeface="Aptos"/>
            </a:rPr>
            <a:t>44K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601C9A21-0D5E-4503-DBCE-73753DC114C4}"/>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91449ADF-54E3-A783-59EB-1C77EAADA0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FE87B72D-5AA7-6AB8-9607-9AC6795ABC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88E4EB05-834C-2BFE-E8D9-050521E71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BA9AD421-BFF6-D346-6C0B-B66671E86F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D834A857-F2DF-48B8-8C10-4A3F09CC24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EAD05012-DE36-C8B3-C7A8-6A09C847536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2237720" y="2194560"/>
              <a:ext cx="445008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F26C09E1-B54A-3FB2-F1F4-BB0DB995AB56}"/>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2237720" y="3337560"/>
              <a:ext cx="445008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im Barman" refreshedDate="46249.08820150463" createdVersion="8" refreshedVersion="8" minRefreshableVersion="3" recordCount="415" xr:uid="{6C234603-0349-44E2-A9A1-76C4B41959C1}">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1101277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BAE23C-3DAF-4508-B2AB-28EA9AF33270}" name="PT_BudgetVsActual"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356">
      <pivotArea type="all" dataOnly="0" outline="0" fieldPosition="0"/>
    </format>
    <format dxfId="355">
      <pivotArea outline="0" collapsedLevelsAreSubtotals="1" fieldPosition="0"/>
    </format>
    <format dxfId="354">
      <pivotArea field="2" type="button" dataOnly="0" labelOnly="1" outline="0" axis="axisRow" fieldPosition="0"/>
    </format>
    <format dxfId="353">
      <pivotArea dataOnly="0" labelOnly="1" outline="0" fieldPosition="0">
        <references count="1">
          <reference field="2" count="0"/>
        </references>
      </pivotArea>
    </format>
    <format dxfId="352">
      <pivotArea dataOnly="0" labelOnly="1" grandRow="1" outline="0" fieldPosition="0"/>
    </format>
    <format dxfId="351">
      <pivotArea dataOnly="0" labelOnly="1" outline="0" fieldPosition="0">
        <references count="1">
          <reference field="4294967294" count="2">
            <x v="0"/>
            <x v="1"/>
          </reference>
        </references>
      </pivotArea>
    </format>
    <format dxfId="350">
      <pivotArea type="all" dataOnly="0" outline="0" fieldPosition="0"/>
    </format>
    <format dxfId="349">
      <pivotArea outline="0" collapsedLevelsAreSubtotals="1" fieldPosition="0"/>
    </format>
    <format dxfId="348">
      <pivotArea field="2" type="button" dataOnly="0" labelOnly="1" outline="0" axis="axisRow" fieldPosition="0"/>
    </format>
    <format dxfId="347">
      <pivotArea dataOnly="0" labelOnly="1" outline="0" fieldPosition="0">
        <references count="1">
          <reference field="2" count="0"/>
        </references>
      </pivotArea>
    </format>
    <format dxfId="346">
      <pivotArea dataOnly="0" labelOnly="1" grandRow="1" outline="0" fieldPosition="0"/>
    </format>
    <format dxfId="34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2C1904-D175-4E55-8152-D77655822533}" name="PT_PaymentMethod"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368">
      <pivotArea type="all" dataOnly="0" outline="0" fieldPosition="0"/>
    </format>
    <format dxfId="367">
      <pivotArea outline="0" collapsedLevelsAreSubtotals="1" fieldPosition="0"/>
    </format>
    <format dxfId="366">
      <pivotArea field="6" type="button" dataOnly="0" labelOnly="1" outline="0" axis="axisRow" fieldPosition="0"/>
    </format>
    <format dxfId="365">
      <pivotArea dataOnly="0" labelOnly="1" outline="0" fieldPosition="0">
        <references count="1">
          <reference field="6" count="0"/>
        </references>
      </pivotArea>
    </format>
    <format dxfId="364">
      <pivotArea dataOnly="0" labelOnly="1" grandRow="1" outline="0" fieldPosition="0"/>
    </format>
    <format dxfId="363">
      <pivotArea dataOnly="0" labelOnly="1" outline="0" axis="axisValues" fieldPosition="0"/>
    </format>
    <format dxfId="362">
      <pivotArea type="all" dataOnly="0" outline="0" fieldPosition="0"/>
    </format>
    <format dxfId="361">
      <pivotArea outline="0" collapsedLevelsAreSubtotals="1" fieldPosition="0"/>
    </format>
    <format dxfId="360">
      <pivotArea field="6" type="button" dataOnly="0" labelOnly="1" outline="0" axis="axisRow" fieldPosition="0"/>
    </format>
    <format dxfId="359">
      <pivotArea dataOnly="0" labelOnly="1" outline="0" fieldPosition="0">
        <references count="1">
          <reference field="6" count="0"/>
        </references>
      </pivotArea>
    </format>
    <format dxfId="358">
      <pivotArea dataOnly="0" labelOnly="1" grandRow="1" outline="0" fieldPosition="0"/>
    </format>
    <format dxfId="3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48FA5D-B332-428C-ADDF-67D36DCA71A4}" name="PT_KPI" cacheId="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376">
      <pivotArea outline="0" collapsedLevelsAreSubtotals="1" fieldPosition="0"/>
    </format>
    <format dxfId="375">
      <pivotArea outline="0" collapsedLevelsAreSubtotals="1" fieldPosition="0">
        <references count="1">
          <reference field="4294967294" count="1" selected="0">
            <x v="3"/>
          </reference>
        </references>
      </pivotArea>
    </format>
    <format dxfId="374">
      <pivotArea type="all" dataOnly="0" outline="0" fieldPosition="0"/>
    </format>
    <format dxfId="373">
      <pivotArea outline="0" collapsedLevelsAreSubtotals="1" fieldPosition="0"/>
    </format>
    <format dxfId="372">
      <pivotArea dataOnly="0" labelOnly="1" outline="0" fieldPosition="0">
        <references count="1">
          <reference field="4294967294" count="4">
            <x v="0"/>
            <x v="1"/>
            <x v="2"/>
            <x v="3"/>
          </reference>
        </references>
      </pivotArea>
    </format>
    <format dxfId="371">
      <pivotArea type="all" dataOnly="0" outline="0" fieldPosition="0"/>
    </format>
    <format dxfId="370">
      <pivotArea outline="0" collapsedLevelsAreSubtotals="1" fieldPosition="0"/>
    </format>
    <format dxfId="369">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D8398A-F730-4D93-91C6-6C695928B1D3}" name="PT_ApprovedStatus"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377">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4BC581-5D9F-4469-80D9-D1BD99ECFBD2}" name="PT_MonthlyTrend"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389">
      <pivotArea type="all" dataOnly="0" outline="0" fieldPosition="0"/>
    </format>
    <format dxfId="388">
      <pivotArea outline="0" collapsedLevelsAreSubtotals="1" fieldPosition="0"/>
    </format>
    <format dxfId="387">
      <pivotArea field="12" type="button" dataOnly="0" labelOnly="1" outline="0" axis="axisRow" fieldPosition="0"/>
    </format>
    <format dxfId="386">
      <pivotArea dataOnly="0" labelOnly="1" outline="0" fieldPosition="0">
        <references count="1">
          <reference field="12" count="0"/>
        </references>
      </pivotArea>
    </format>
    <format dxfId="385">
      <pivotArea dataOnly="0" labelOnly="1" grandRow="1" outline="0" fieldPosition="0"/>
    </format>
    <format dxfId="384">
      <pivotArea dataOnly="0" labelOnly="1" outline="0" axis="axisValues" fieldPosition="0"/>
    </format>
    <format dxfId="383">
      <pivotArea type="all" dataOnly="0" outline="0" fieldPosition="0"/>
    </format>
    <format dxfId="382">
      <pivotArea outline="0" collapsedLevelsAreSubtotals="1" fieldPosition="0"/>
    </format>
    <format dxfId="381">
      <pivotArea field="12" type="button" dataOnly="0" labelOnly="1" outline="0" axis="axisRow" fieldPosition="0"/>
    </format>
    <format dxfId="380">
      <pivotArea dataOnly="0" labelOnly="1" outline="0" fieldPosition="0">
        <references count="1">
          <reference field="12" count="0"/>
        </references>
      </pivotArea>
    </format>
    <format dxfId="379">
      <pivotArea dataOnly="0" labelOnly="1" grandRow="1" outline="0" fieldPosition="0"/>
    </format>
    <format dxfId="37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94AEDB-AF6F-4ED7-ABC5-997A41FD5831}" name="PT_ExpenseByCategory"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401">
      <pivotArea type="all" dataOnly="0" outline="0" fieldPosition="0"/>
    </format>
    <format dxfId="400">
      <pivotArea outline="0" collapsedLevelsAreSubtotals="1" fieldPosition="0"/>
    </format>
    <format dxfId="399">
      <pivotArea field="3" type="button" dataOnly="0" labelOnly="1" outline="0" axis="axisRow" fieldPosition="0"/>
    </format>
    <format dxfId="398">
      <pivotArea dataOnly="0" labelOnly="1" outline="0" fieldPosition="0">
        <references count="1">
          <reference field="3" count="0"/>
        </references>
      </pivotArea>
    </format>
    <format dxfId="397">
      <pivotArea dataOnly="0" labelOnly="1" grandRow="1" outline="0" fieldPosition="0"/>
    </format>
    <format dxfId="396">
      <pivotArea dataOnly="0" labelOnly="1" outline="0" axis="axisValues" fieldPosition="0"/>
    </format>
    <format dxfId="395">
      <pivotArea type="all" dataOnly="0" outline="0" fieldPosition="0"/>
    </format>
    <format dxfId="394">
      <pivotArea outline="0" collapsedLevelsAreSubtotals="1" fieldPosition="0"/>
    </format>
    <format dxfId="393">
      <pivotArea field="3" type="button" dataOnly="0" labelOnly="1" outline="0" axis="axisRow" fieldPosition="0"/>
    </format>
    <format dxfId="392">
      <pivotArea dataOnly="0" labelOnly="1" outline="0" fieldPosition="0">
        <references count="1">
          <reference field="3" count="0"/>
        </references>
      </pivotArea>
    </format>
    <format dxfId="391">
      <pivotArea dataOnly="0" labelOnly="1" grandRow="1" outline="0" fieldPosition="0"/>
    </format>
    <format dxfId="39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9CEC9D5-5695-4463-AC2E-DCC4E849FD5B}" name="PT_ExpenseByDepartment"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413">
      <pivotArea type="all" dataOnly="0" outline="0" fieldPosition="0"/>
    </format>
    <format dxfId="412">
      <pivotArea outline="0" collapsedLevelsAreSubtotals="1" fieldPosition="0"/>
    </format>
    <format dxfId="411">
      <pivotArea field="2" type="button" dataOnly="0" labelOnly="1" outline="0" axis="axisRow" fieldPosition="0"/>
    </format>
    <format dxfId="410">
      <pivotArea dataOnly="0" labelOnly="1" outline="0" fieldPosition="0">
        <references count="1">
          <reference field="2" count="0"/>
        </references>
      </pivotArea>
    </format>
    <format dxfId="409">
      <pivotArea dataOnly="0" labelOnly="1" grandRow="1" outline="0" fieldPosition="0"/>
    </format>
    <format dxfId="408">
      <pivotArea dataOnly="0" labelOnly="1" outline="0" axis="axisValues" fieldPosition="0"/>
    </format>
    <format dxfId="407">
      <pivotArea type="all" dataOnly="0" outline="0" fieldPosition="0"/>
    </format>
    <format dxfId="406">
      <pivotArea outline="0" collapsedLevelsAreSubtotals="1" fieldPosition="0"/>
    </format>
    <format dxfId="405">
      <pivotArea field="2" type="button" dataOnly="0" labelOnly="1" outline="0" axis="axisRow" fieldPosition="0"/>
    </format>
    <format dxfId="404">
      <pivotArea dataOnly="0" labelOnly="1" outline="0" fieldPosition="0">
        <references count="1">
          <reference field="2" count="0"/>
        </references>
      </pivotArea>
    </format>
    <format dxfId="403">
      <pivotArea dataOnly="0" labelOnly="1" grandRow="1" outline="0" fieldPosition="0"/>
    </format>
    <format dxfId="40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9F39538-0E32-4A1E-B0D3-7DCE28FC19D2}" sourceName="Month">
  <pivotTables>
    <pivotTable tabId="4" name="PT_ExpenseByDepartment"/>
    <pivotTable tabId="4" name="PT_ExpenseByCategory"/>
    <pivotTable tabId="4" name="PT_MonthlyTrend"/>
    <pivotTable tabId="4" name="PT_ApprovedStatus"/>
    <pivotTable tabId="4" name="PT_KPI"/>
    <pivotTable tabId="4" name="PT_PaymentMethod"/>
    <pivotTable tabId="4" name="PT_BudgetVsActual"/>
  </pivotTables>
  <data>
    <tabular pivotCacheId="1110127755">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42B84C5-83B9-43E1-A2CA-443792E25850}" sourceName="Department">
  <pivotTables>
    <pivotTable tabId="4" name="PT_ExpenseByDepartment"/>
    <pivotTable tabId="4" name="PT_ExpenseByCategory"/>
    <pivotTable tabId="4" name="PT_MonthlyTrend"/>
    <pivotTable tabId="4" name="PT_ApprovedStatus"/>
    <pivotTable tabId="4" name="PT_KPI"/>
    <pivotTable tabId="4" name="PT_PaymentMethod"/>
    <pivotTable tabId="4" name="PT_BudgetVsActual"/>
  </pivotTables>
  <data>
    <tabular pivotCacheId="1110127755">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67ECEC8C-66A4-45E3-A6F6-8A606A4841F5}" cache="Slicer_Month" caption="Month" columnCount="4" style="SlicerStyleLight6" rowHeight="247650"/>
  <slicer name="Department" xr10:uid="{1FAE4076-E2AF-4A9D-9332-E5880731E3B4}" cache="Slicer_Department" caption="Department" columnCount="6" style="SlicerStyleLigh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D68C89-99D9-4C8B-AEAE-E8794956E55D}" name="tblExpenses" displayName="tblExpenses" ref="A1:M416" totalsRowShown="0" headerRowDxfId="414">
  <autoFilter ref="A1:M416" xr:uid="{0CD68C89-99D9-4C8B-AEAE-E8794956E55D}"/>
  <tableColumns count="13">
    <tableColumn id="1" xr3:uid="{EC070E3E-059E-4007-9FD4-5C98B574407F}" name="Expense ID"/>
    <tableColumn id="2" xr3:uid="{76E1715F-20F3-45B4-98C8-16C84B07F715}" name="Date" dataDxfId="418"/>
    <tableColumn id="3" xr3:uid="{7F9E7DB4-3131-41A0-8B4D-07544F8BFE89}" name="Department"/>
    <tableColumn id="4" xr3:uid="{6C248C2A-2F6A-481D-8C7C-60077FD3EBFF}" name="Category"/>
    <tableColumn id="5" xr3:uid="{7F3BDDEB-8A4A-4A54-AD5A-C1F7C599F479}" name="Description"/>
    <tableColumn id="6" xr3:uid="{7A17586A-28DB-4A33-B44D-9597695B3FC8}" name="Amount (INR)" dataDxfId="417"/>
    <tableColumn id="7" xr3:uid="{09373344-4E7E-4397-B82C-2AD4B294EE49}" name="Payment Method"/>
    <tableColumn id="8" xr3:uid="{F6E5CCF2-FF76-44F1-B65D-50940853D7A1}" name="Approved"/>
    <tableColumn id="9" xr3:uid="{DDC51AB6-72C2-4B5B-929E-3471AA045801}" name="Budget Allocated" dataDxfId="416"/>
    <tableColumn id="10" xr3:uid="{328AFEB2-670A-4D76-AFD1-1CED3CE898EB}" name="Budget Remaining" dataDxfId="415"/>
    <tableColumn id="11" xr3:uid="{7FCC07F6-0A8E-4A1A-9B4D-B2EF0A5F4466}" name="Vendor Name"/>
    <tableColumn id="12" xr3:uid="{4A24B819-1090-4286-8D9F-6F56437C59D2}" name="Invoice Number"/>
    <tableColumn id="13" xr3:uid="{3A9D7BD1-292B-4009-83C2-BC704630E25B}"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DB9B4-9189-4C07-9526-907E97F623E3}">
  <sheetPr codeName="Sheet3">
    <pageSetUpPr fitToPage="1"/>
  </sheetPr>
  <dimension ref="A1:AF29"/>
  <sheetViews>
    <sheetView showGridLines="0" tabSelected="1" zoomScale="70" zoomScaleNormal="70" workbookViewId="0">
      <selection activeCell="AL31" sqref="AL31"/>
    </sheetView>
  </sheetViews>
  <sheetFormatPr defaultRowHeight="13.8" x14ac:dyDescent="0.3"/>
  <cols>
    <col min="1" max="30" width="8.109375" style="11" customWidth="1"/>
    <col min="31" max="31" width="8.88671875" style="11"/>
    <col min="32" max="33" width="0" style="11" hidden="1" customWidth="1"/>
    <col min="34" max="16384" width="8.88671875" style="11"/>
  </cols>
  <sheetData>
    <row r="1" spans="1:32" ht="22.05" customHeight="1" x14ac:dyDescent="0.3">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2.05" customHeight="1" x14ac:dyDescent="0.3">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18405183</v>
      </c>
    </row>
    <row r="3" spans="1:32" ht="22.05" customHeight="1" x14ac:dyDescent="0.3">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22953950</v>
      </c>
    </row>
    <row r="4" spans="1:32" ht="18" customHeight="1" x14ac:dyDescent="0.3">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4548767</v>
      </c>
    </row>
    <row r="5" spans="1:32" ht="18" customHeight="1" x14ac:dyDescent="0.3">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415</v>
      </c>
    </row>
    <row r="6" spans="1:32" ht="18" customHeight="1" x14ac:dyDescent="0.3">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0.81445783132530125</v>
      </c>
    </row>
    <row r="7" spans="1:32" ht="18" customHeight="1" x14ac:dyDescent="0.3">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44349.838554216869</v>
      </c>
    </row>
    <row r="8" spans="1:32" ht="18" customHeight="1" x14ac:dyDescent="0.3">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x14ac:dyDescent="0.3">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x14ac:dyDescent="0.3">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x14ac:dyDescent="0.3">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x14ac:dyDescent="0.3">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x14ac:dyDescent="0.3">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x14ac:dyDescent="0.3">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x14ac:dyDescent="0.3">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x14ac:dyDescent="0.3">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x14ac:dyDescent="0.3">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x14ac:dyDescent="0.3">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x14ac:dyDescent="0.3">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x14ac:dyDescent="0.3">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x14ac:dyDescent="0.3">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x14ac:dyDescent="0.3">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x14ac:dyDescent="0.3">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x14ac:dyDescent="0.3">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x14ac:dyDescent="0.3">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x14ac:dyDescent="0.3">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x14ac:dyDescent="0.3">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x14ac:dyDescent="0.3">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x14ac:dyDescent="0.3">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workbookViewId="0">
      <selection activeCell="P13" sqref="P13"/>
    </sheetView>
  </sheetViews>
  <sheetFormatPr defaultRowHeight="14.4" x14ac:dyDescent="0.3"/>
  <cols>
    <col min="1" max="1" width="12.21875" bestFit="1" customWidth="1"/>
    <col min="2" max="2" width="11.88671875" bestFit="1" customWidth="1"/>
    <col min="3" max="3" width="13.21875" bestFit="1" customWidth="1"/>
    <col min="4" max="4" width="13.109375" bestFit="1" customWidth="1"/>
    <col min="5" max="5" width="31.5546875" bestFit="1" customWidth="1"/>
    <col min="6" max="6" width="14.33203125" bestFit="1" customWidth="1"/>
    <col min="7" max="7" width="17.21875" bestFit="1" customWidth="1"/>
    <col min="8" max="8" width="11.21875" bestFit="1" customWidth="1"/>
    <col min="9" max="9" width="17.44140625" bestFit="1" customWidth="1"/>
    <col min="10" max="10" width="18.21875" bestFit="1" customWidth="1"/>
    <col min="11" max="11" width="17.88671875" bestFit="1" customWidth="1"/>
    <col min="12" max="12" width="16.44140625" bestFit="1" customWidth="1"/>
    <col min="13" max="13" width="8.33203125" bestFit="1" customWidth="1"/>
  </cols>
  <sheetData>
    <row r="1" spans="1:13" s="3" customFormat="1" x14ac:dyDescent="0.3">
      <c r="A1" s="3" t="s">
        <v>0</v>
      </c>
      <c r="B1" s="3" t="s">
        <v>1</v>
      </c>
      <c r="C1" s="3" t="s">
        <v>2</v>
      </c>
      <c r="D1" s="3" t="s">
        <v>3</v>
      </c>
      <c r="E1" s="3" t="s">
        <v>4</v>
      </c>
      <c r="F1" s="3" t="s">
        <v>5</v>
      </c>
      <c r="G1" s="3" t="s">
        <v>6</v>
      </c>
      <c r="H1" s="3" t="s">
        <v>7</v>
      </c>
      <c r="I1" s="3" t="s">
        <v>8</v>
      </c>
      <c r="J1" s="3" t="s">
        <v>9</v>
      </c>
      <c r="K1" s="3" t="s">
        <v>10</v>
      </c>
      <c r="L1" s="3" t="s">
        <v>11</v>
      </c>
      <c r="M1" s="3" t="s">
        <v>918</v>
      </c>
    </row>
    <row r="2" spans="1:13" x14ac:dyDescent="0.3">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3E2AE-62B3-4040-BB58-3B6C71DF780F}">
  <sheetPr codeName="Sheet2"/>
  <dimension ref="A3:P62"/>
  <sheetViews>
    <sheetView workbookViewId="0"/>
  </sheetViews>
  <sheetFormatPr defaultRowHeight="14.4" x14ac:dyDescent="0.3"/>
  <cols>
    <col min="1" max="1" width="17.6640625" bestFit="1" customWidth="1"/>
    <col min="2" max="2" width="19" bestFit="1" customWidth="1"/>
    <col min="4" max="4" width="13.44140625" bestFit="1" customWidth="1"/>
    <col min="5" max="5" width="11.88671875"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5" t="s">
        <v>2</v>
      </c>
      <c r="B3" s="6" t="s">
        <v>920</v>
      </c>
      <c r="D3" s="5" t="s">
        <v>3</v>
      </c>
      <c r="E3" s="6" t="s">
        <v>920</v>
      </c>
      <c r="G3" s="5" t="s">
        <v>918</v>
      </c>
      <c r="H3" s="6" t="s">
        <v>920</v>
      </c>
      <c r="J3" s="4" t="s">
        <v>7</v>
      </c>
      <c r="K3" t="s">
        <v>920</v>
      </c>
      <c r="L3" t="s">
        <v>933</v>
      </c>
      <c r="M3" s="6" t="s">
        <v>920</v>
      </c>
      <c r="N3" s="6" t="s">
        <v>934</v>
      </c>
      <c r="O3" s="6" t="s">
        <v>935</v>
      </c>
      <c r="P3" s="6" t="s">
        <v>933</v>
      </c>
    </row>
    <row r="4" spans="1:16" x14ac:dyDescent="0.3">
      <c r="A4" s="6" t="s">
        <v>13</v>
      </c>
      <c r="B4" s="7">
        <v>3366315</v>
      </c>
      <c r="D4" s="6" t="s">
        <v>31</v>
      </c>
      <c r="E4" s="7">
        <v>6030171</v>
      </c>
      <c r="G4" s="6" t="s">
        <v>921</v>
      </c>
      <c r="H4" s="7">
        <v>1379978</v>
      </c>
      <c r="J4" t="s">
        <v>43</v>
      </c>
      <c r="K4" s="2">
        <v>3628179</v>
      </c>
      <c r="L4" s="9">
        <v>77</v>
      </c>
      <c r="M4" s="7">
        <v>18405183</v>
      </c>
      <c r="N4" s="7">
        <v>22953950</v>
      </c>
      <c r="O4" s="7">
        <v>4548767</v>
      </c>
      <c r="P4" s="10">
        <v>415</v>
      </c>
    </row>
    <row r="5" spans="1:16" x14ac:dyDescent="0.3">
      <c r="A5" s="6" t="s">
        <v>92</v>
      </c>
      <c r="B5" s="7">
        <v>2611075</v>
      </c>
      <c r="D5" s="6" t="s">
        <v>36</v>
      </c>
      <c r="E5" s="7">
        <v>3671418</v>
      </c>
      <c r="G5" s="6" t="s">
        <v>922</v>
      </c>
      <c r="H5" s="7">
        <v>1058599</v>
      </c>
      <c r="J5" t="s">
        <v>17</v>
      </c>
      <c r="K5" s="2">
        <v>14777004</v>
      </c>
      <c r="L5" s="9">
        <v>338</v>
      </c>
    </row>
    <row r="6" spans="1:16" x14ac:dyDescent="0.3">
      <c r="A6" s="6" t="s">
        <v>72</v>
      </c>
      <c r="B6" s="7">
        <v>3616924</v>
      </c>
      <c r="D6" s="6" t="s">
        <v>21</v>
      </c>
      <c r="E6" s="7">
        <v>3505155</v>
      </c>
      <c r="G6" s="6" t="s">
        <v>923</v>
      </c>
      <c r="H6" s="7">
        <v>1179601</v>
      </c>
      <c r="J6" t="s">
        <v>919</v>
      </c>
      <c r="K6" s="2">
        <v>18405183</v>
      </c>
      <c r="L6" s="8">
        <v>415</v>
      </c>
    </row>
    <row r="7" spans="1:16" x14ac:dyDescent="0.3">
      <c r="A7" s="6" t="s">
        <v>21</v>
      </c>
      <c r="B7" s="7">
        <v>3010276</v>
      </c>
      <c r="D7" s="6" t="s">
        <v>26</v>
      </c>
      <c r="E7" s="7">
        <v>208093</v>
      </c>
      <c r="G7" s="6" t="s">
        <v>924</v>
      </c>
      <c r="H7" s="7">
        <v>1317668</v>
      </c>
    </row>
    <row r="8" spans="1:16" x14ac:dyDescent="0.3">
      <c r="A8" s="6" t="s">
        <v>114</v>
      </c>
      <c r="B8" s="7">
        <v>3346621</v>
      </c>
      <c r="D8" s="6" t="s">
        <v>14</v>
      </c>
      <c r="E8" s="7">
        <v>1743238</v>
      </c>
      <c r="G8" s="6" t="s">
        <v>925</v>
      </c>
      <c r="H8" s="7">
        <v>1780658</v>
      </c>
    </row>
    <row r="9" spans="1:16" x14ac:dyDescent="0.3">
      <c r="A9" s="6" t="s">
        <v>46</v>
      </c>
      <c r="B9" s="7">
        <v>2453972</v>
      </c>
      <c r="D9" s="6" t="s">
        <v>132</v>
      </c>
      <c r="E9" s="7">
        <v>772840</v>
      </c>
      <c r="G9" s="6" t="s">
        <v>926</v>
      </c>
      <c r="H9" s="7">
        <v>1286080</v>
      </c>
    </row>
    <row r="10" spans="1:16" x14ac:dyDescent="0.3">
      <c r="A10" s="6" t="s">
        <v>919</v>
      </c>
      <c r="B10" s="7">
        <v>18405183</v>
      </c>
      <c r="D10" s="6" t="s">
        <v>58</v>
      </c>
      <c r="E10" s="7">
        <v>2023948</v>
      </c>
      <c r="G10" s="6" t="s">
        <v>927</v>
      </c>
      <c r="H10" s="7">
        <v>2119404</v>
      </c>
    </row>
    <row r="11" spans="1:16" x14ac:dyDescent="0.3">
      <c r="D11" s="6" t="s">
        <v>54</v>
      </c>
      <c r="E11" s="7">
        <v>450320</v>
      </c>
      <c r="G11" s="6" t="s">
        <v>928</v>
      </c>
      <c r="H11" s="7">
        <v>1669539</v>
      </c>
    </row>
    <row r="12" spans="1:16" x14ac:dyDescent="0.3">
      <c r="D12" s="6" t="s">
        <v>919</v>
      </c>
      <c r="E12" s="7">
        <v>18405183</v>
      </c>
      <c r="G12" s="6" t="s">
        <v>929</v>
      </c>
      <c r="H12" s="7">
        <v>1913484</v>
      </c>
    </row>
    <row r="13" spans="1:16" x14ac:dyDescent="0.3">
      <c r="G13" s="6" t="s">
        <v>930</v>
      </c>
      <c r="H13" s="7">
        <v>1365637</v>
      </c>
    </row>
    <row r="14" spans="1:16" x14ac:dyDescent="0.3">
      <c r="G14" s="6" t="s">
        <v>931</v>
      </c>
      <c r="H14" s="7">
        <v>1795988</v>
      </c>
    </row>
    <row r="15" spans="1:16" x14ac:dyDescent="0.3">
      <c r="G15" s="6" t="s">
        <v>932</v>
      </c>
      <c r="H15" s="7">
        <v>1538547</v>
      </c>
    </row>
    <row r="16" spans="1:16" x14ac:dyDescent="0.3">
      <c r="G16" s="6" t="s">
        <v>919</v>
      </c>
      <c r="H16" s="7">
        <v>18405183</v>
      </c>
    </row>
    <row r="25" spans="1:6" x14ac:dyDescent="0.3">
      <c r="A25" s="5" t="s">
        <v>6</v>
      </c>
      <c r="B25" s="6" t="s">
        <v>920</v>
      </c>
      <c r="D25" s="5" t="s">
        <v>2</v>
      </c>
      <c r="E25" s="6" t="s">
        <v>936</v>
      </c>
      <c r="F25" s="6" t="s">
        <v>934</v>
      </c>
    </row>
    <row r="26" spans="1:6" x14ac:dyDescent="0.3">
      <c r="A26" s="6" t="s">
        <v>51</v>
      </c>
      <c r="B26" s="7">
        <v>4908988</v>
      </c>
      <c r="D26" s="6" t="s">
        <v>13</v>
      </c>
      <c r="E26" s="7">
        <v>3366315</v>
      </c>
      <c r="F26" s="7">
        <v>4162201</v>
      </c>
    </row>
    <row r="27" spans="1:6" x14ac:dyDescent="0.3">
      <c r="A27" s="6" t="s">
        <v>16</v>
      </c>
      <c r="B27" s="7">
        <v>4388835</v>
      </c>
      <c r="D27" s="6" t="s">
        <v>92</v>
      </c>
      <c r="E27" s="7">
        <v>2611075</v>
      </c>
      <c r="F27" s="7">
        <v>3159110</v>
      </c>
    </row>
    <row r="28" spans="1:6" x14ac:dyDescent="0.3">
      <c r="A28" s="6" t="s">
        <v>38</v>
      </c>
      <c r="B28" s="7">
        <v>5477461</v>
      </c>
      <c r="D28" s="6" t="s">
        <v>72</v>
      </c>
      <c r="E28" s="7">
        <v>3616924</v>
      </c>
      <c r="F28" s="7">
        <v>4425089</v>
      </c>
    </row>
    <row r="29" spans="1:6" x14ac:dyDescent="0.3">
      <c r="A29" s="6" t="s">
        <v>23</v>
      </c>
      <c r="B29" s="7">
        <v>3629899</v>
      </c>
      <c r="D29" s="6" t="s">
        <v>21</v>
      </c>
      <c r="E29" s="7">
        <v>3010276</v>
      </c>
      <c r="F29" s="7">
        <v>3898633</v>
      </c>
    </row>
    <row r="30" spans="1:6" x14ac:dyDescent="0.3">
      <c r="A30" s="6" t="s">
        <v>919</v>
      </c>
      <c r="B30" s="7">
        <v>18405183</v>
      </c>
      <c r="D30" s="6" t="s">
        <v>114</v>
      </c>
      <c r="E30" s="7">
        <v>3346621</v>
      </c>
      <c r="F30" s="7">
        <v>4160632</v>
      </c>
    </row>
    <row r="31" spans="1:6" x14ac:dyDescent="0.3">
      <c r="D31" s="6" t="s">
        <v>46</v>
      </c>
      <c r="E31" s="7">
        <v>2453972</v>
      </c>
      <c r="F31" s="7">
        <v>3148285</v>
      </c>
    </row>
    <row r="32" spans="1:6" x14ac:dyDescent="0.3">
      <c r="D32" s="6" t="s">
        <v>919</v>
      </c>
      <c r="E32" s="7">
        <v>18405183</v>
      </c>
      <c r="F32" s="7">
        <v>22953950</v>
      </c>
    </row>
    <row r="50" spans="1:15" x14ac:dyDescent="0.3">
      <c r="A50" t="s">
        <v>2</v>
      </c>
      <c r="B50" t="s">
        <v>937</v>
      </c>
      <c r="D50" t="s">
        <v>3</v>
      </c>
      <c r="E50" t="s">
        <v>937</v>
      </c>
      <c r="G50" t="s">
        <v>918</v>
      </c>
      <c r="H50" t="s">
        <v>937</v>
      </c>
      <c r="J50" t="s">
        <v>6</v>
      </c>
      <c r="K50" t="s">
        <v>937</v>
      </c>
      <c r="M50" t="s">
        <v>2</v>
      </c>
      <c r="N50" t="s">
        <v>936</v>
      </c>
      <c r="O50" t="s">
        <v>8</v>
      </c>
    </row>
    <row r="51" spans="1:15" x14ac:dyDescent="0.3">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Pivot!$D$26</f>
        <v>Engineering</v>
      </c>
      <c r="N51" s="2">
        <f>Pivot!$E$26</f>
        <v>3366315</v>
      </c>
      <c r="O51" s="2">
        <f>Pivot!$F$26</f>
        <v>4162201</v>
      </c>
    </row>
    <row r="52" spans="1:15" x14ac:dyDescent="0.3">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Pivot!$D$27</f>
        <v>Finance</v>
      </c>
      <c r="N52" s="2">
        <f>Pivot!$E$27</f>
        <v>2611075</v>
      </c>
      <c r="O52" s="2">
        <f>Pivot!$F$27</f>
        <v>3159110</v>
      </c>
    </row>
    <row r="53" spans="1:15" x14ac:dyDescent="0.3">
      <c r="A53" t="str">
        <f>Pivot!$A$6</f>
        <v>HR</v>
      </c>
      <c r="B53" s="2">
        <f>Pivot!$B$6</f>
        <v>3616924</v>
      </c>
      <c r="D53" t="str">
        <f>Pivot!$D$6</f>
        <v>Marketing</v>
      </c>
      <c r="E53" s="2">
        <f>Pivot!$E$6</f>
        <v>3505155</v>
      </c>
      <c r="G53" t="str">
        <f>Pivot!$G$6</f>
        <v>Mar</v>
      </c>
      <c r="H53" s="2">
        <f>Pivot!$H$6</f>
        <v>1179601</v>
      </c>
      <c r="J53" t="str">
        <f>Pivot!$A$28</f>
        <v>Cheque</v>
      </c>
      <c r="K53" s="2">
        <f>Pivot!$B$28</f>
        <v>5477461</v>
      </c>
      <c r="M53" t="str">
        <f>Pivot!$D$28</f>
        <v>HR</v>
      </c>
      <c r="N53" s="2">
        <f>Pivot!$E$28</f>
        <v>3616924</v>
      </c>
      <c r="O53" s="2">
        <f>Pivot!$F$28</f>
        <v>4425089</v>
      </c>
    </row>
    <row r="54" spans="1:15" x14ac:dyDescent="0.3">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Pivot!$D$29</f>
        <v>Marketing</v>
      </c>
      <c r="N54" s="2">
        <f>Pivot!$E$29</f>
        <v>3010276</v>
      </c>
      <c r="O54" s="2">
        <f>Pivot!$F$29</f>
        <v>3898633</v>
      </c>
    </row>
    <row r="55" spans="1:15" x14ac:dyDescent="0.3">
      <c r="A55" t="str">
        <f>Pivot!$A$8</f>
        <v>Operations</v>
      </c>
      <c r="B55" s="2">
        <f>Pivot!$B$8</f>
        <v>3346621</v>
      </c>
      <c r="D55" t="str">
        <f>Pivot!$D$8</f>
        <v>Software</v>
      </c>
      <c r="E55" s="2">
        <f>Pivot!$E$8</f>
        <v>1743238</v>
      </c>
      <c r="G55" t="str">
        <f>Pivot!$G$8</f>
        <v>May</v>
      </c>
      <c r="H55" s="2">
        <f>Pivot!$H$8</f>
        <v>1780658</v>
      </c>
      <c r="M55" t="str">
        <f>Pivot!$D$30</f>
        <v>Operations</v>
      </c>
      <c r="N55" s="2">
        <f>Pivot!$E$30</f>
        <v>3346621</v>
      </c>
      <c r="O55" s="2">
        <f>Pivot!$F$30</f>
        <v>4160632</v>
      </c>
    </row>
    <row r="56" spans="1:15" x14ac:dyDescent="0.3">
      <c r="A56" t="str">
        <f>Pivot!$A$9</f>
        <v>Sales</v>
      </c>
      <c r="B56" s="2">
        <f>Pivot!$B$9</f>
        <v>2453972</v>
      </c>
      <c r="D56" t="str">
        <f>Pivot!$D$9</f>
        <v>Training</v>
      </c>
      <c r="E56" s="2">
        <f>Pivot!$E$9</f>
        <v>772840</v>
      </c>
      <c r="G56" t="str">
        <f>Pivot!$G$9</f>
        <v>Jun</v>
      </c>
      <c r="H56" s="2">
        <f>Pivot!$H$9</f>
        <v>1286080</v>
      </c>
      <c r="M56" t="str">
        <f>Pivot!$D$31</f>
        <v>Sales</v>
      </c>
      <c r="N56" s="2">
        <f>Pivot!$E$31</f>
        <v>2453972</v>
      </c>
      <c r="O56" s="2">
        <f>Pivot!$F$31</f>
        <v>3148285</v>
      </c>
    </row>
    <row r="57" spans="1:15" x14ac:dyDescent="0.3">
      <c r="D57" t="str">
        <f>Pivot!$D$10</f>
        <v>Travel</v>
      </c>
      <c r="E57" s="2">
        <f>Pivot!$E$10</f>
        <v>2023948</v>
      </c>
      <c r="G57" t="str">
        <f>Pivot!$G$10</f>
        <v>Jul</v>
      </c>
      <c r="H57" s="2">
        <f>Pivot!$H$10</f>
        <v>2119404</v>
      </c>
    </row>
    <row r="58" spans="1:15" x14ac:dyDescent="0.3">
      <c r="D58" t="str">
        <f>Pivot!$D$11</f>
        <v>Utilities</v>
      </c>
      <c r="E58" s="2">
        <f>Pivot!$E$11</f>
        <v>450320</v>
      </c>
      <c r="G58" t="str">
        <f>Pivot!$G$11</f>
        <v>Aug</v>
      </c>
      <c r="H58" s="2">
        <f>Pivot!$H$11</f>
        <v>1669539</v>
      </c>
    </row>
    <row r="59" spans="1:15" x14ac:dyDescent="0.3">
      <c r="G59" t="str">
        <f>Pivot!$G$12</f>
        <v>Sep</v>
      </c>
      <c r="H59" s="2">
        <f>Pivot!$H$12</f>
        <v>1913484</v>
      </c>
    </row>
    <row r="60" spans="1:15" x14ac:dyDescent="0.3">
      <c r="G60" t="str">
        <f>Pivot!$G$13</f>
        <v>Oct</v>
      </c>
      <c r="H60" s="2">
        <f>Pivot!$H$13</f>
        <v>1365637</v>
      </c>
    </row>
    <row r="61" spans="1:15" x14ac:dyDescent="0.3">
      <c r="G61" t="str">
        <f>Pivot!$G$14</f>
        <v>Nov</v>
      </c>
      <c r="H61" s="2">
        <f>Pivot!$H$14</f>
        <v>1795988</v>
      </c>
    </row>
    <row r="62" spans="1:15" x14ac:dyDescent="0.3">
      <c r="G62" t="str">
        <f>Pivot!$G$15</f>
        <v>Dec</v>
      </c>
      <c r="H62" s="2">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Ashim Barman</cp:lastModifiedBy>
  <dcterms:created xsi:type="dcterms:W3CDTF">2026-05-19T08:07:04Z</dcterms:created>
  <dcterms:modified xsi:type="dcterms:W3CDTF">2026-08-14T20:48:17Z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